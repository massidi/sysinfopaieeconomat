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INDEVPAIE\SYSINFOPAIESAINTJOSEPH\Exe\Simulation octobre 2022 avec mvts\"/>
    </mc:Choice>
  </mc:AlternateContent>
  <bookViews>
    <workbookView xWindow="0" yWindow="0" windowWidth="19530" windowHeight="768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2" i="1"/>
  <c r="S18" i="1" l="1"/>
  <c r="R18" i="1"/>
  <c r="R17" i="1"/>
  <c r="S17" i="1" s="1"/>
  <c r="R16" i="1"/>
  <c r="S16" i="1" s="1"/>
  <c r="R15" i="1"/>
  <c r="S15" i="1" s="1"/>
  <c r="S14" i="1"/>
  <c r="R14" i="1"/>
  <c r="R13" i="1"/>
  <c r="S13" i="1" s="1"/>
  <c r="R12" i="1"/>
  <c r="S12" i="1" s="1"/>
  <c r="R11" i="1"/>
  <c r="S11" i="1" s="1"/>
  <c r="S10" i="1"/>
  <c r="R10" i="1"/>
  <c r="R9" i="1"/>
  <c r="S9" i="1" s="1"/>
  <c r="R8" i="1"/>
  <c r="S8" i="1" s="1"/>
  <c r="R7" i="1"/>
  <c r="S7" i="1" s="1"/>
  <c r="S6" i="1"/>
  <c r="R6" i="1"/>
  <c r="R5" i="1"/>
  <c r="S5" i="1" s="1"/>
  <c r="R4" i="1"/>
  <c r="S4" i="1" s="1"/>
  <c r="R3" i="1"/>
  <c r="S3" i="1" s="1"/>
  <c r="S2" i="1"/>
  <c r="R2" i="1"/>
</calcChain>
</file>

<file path=xl/sharedStrings.xml><?xml version="1.0" encoding="utf-8"?>
<sst xmlns="http://schemas.openxmlformats.org/spreadsheetml/2006/main" count="118" uniqueCount="56">
  <si>
    <t>Cat. lég.</t>
  </si>
  <si>
    <t>Designation</t>
  </si>
  <si>
    <t>Code sal.</t>
  </si>
  <si>
    <t>Salaire</t>
  </si>
  <si>
    <t>Code log.</t>
  </si>
  <si>
    <t>Logement</t>
  </si>
  <si>
    <t>Code transport</t>
  </si>
  <si>
    <t>Transport</t>
  </si>
  <si>
    <t>Code</t>
  </si>
  <si>
    <t>Prime</t>
  </si>
  <si>
    <t>conjoncturel</t>
  </si>
  <si>
    <t>logusd</t>
  </si>
  <si>
    <t>motivation</t>
  </si>
  <si>
    <t>Commission</t>
  </si>
  <si>
    <t>taux</t>
  </si>
  <si>
    <t>Prime Garde</t>
  </si>
  <si>
    <t>Sal.new</t>
  </si>
  <si>
    <t>Log.USD</t>
  </si>
  <si>
    <t>Log.New</t>
  </si>
  <si>
    <t>11</t>
  </si>
  <si>
    <t>MANOEUVRE 1</t>
  </si>
  <si>
    <t>003</t>
  </si>
  <si>
    <t>300</t>
  </si>
  <si>
    <t>101</t>
  </si>
  <si>
    <t>12</t>
  </si>
  <si>
    <t>MANOEUVRE 2</t>
  </si>
  <si>
    <t>20</t>
  </si>
  <si>
    <t>TRAVAILLEUR SPECIALISÉ</t>
  </si>
  <si>
    <t>31</t>
  </si>
  <si>
    <t>TRAVAILLEUR SEMI QUALIFIE</t>
  </si>
  <si>
    <t>061</t>
  </si>
  <si>
    <t>32</t>
  </si>
  <si>
    <t>TRAVAILLEUR SEMI QUALIFIE 1</t>
  </si>
  <si>
    <t>33</t>
  </si>
  <si>
    <t>MANŒUVRE</t>
  </si>
  <si>
    <t>41</t>
  </si>
  <si>
    <t>TRAVAILLEUR QUALIFIE 2</t>
  </si>
  <si>
    <t>42</t>
  </si>
  <si>
    <t>50</t>
  </si>
  <si>
    <t>TRAVAILLEUR HAUTEMENT QUALIFIE</t>
  </si>
  <si>
    <t>61</t>
  </si>
  <si>
    <t>MAITRISE 1</t>
  </si>
  <si>
    <t>62</t>
  </si>
  <si>
    <t>MAITRISE 2</t>
  </si>
  <si>
    <t>63</t>
  </si>
  <si>
    <t>MAITRISE 3</t>
  </si>
  <si>
    <t>64</t>
  </si>
  <si>
    <t>MAITRISE 4</t>
  </si>
  <si>
    <t>71</t>
  </si>
  <si>
    <t>Cadre de coll. Ech 1</t>
  </si>
  <si>
    <t>72</t>
  </si>
  <si>
    <t>Cadre de coll. Ech 2</t>
  </si>
  <si>
    <t>73</t>
  </si>
  <si>
    <t>Cadre de coll. Ech 3</t>
  </si>
  <si>
    <t>74</t>
  </si>
  <si>
    <t>Cadre de coll. Ech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</si>
</sst>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1" applyFont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center" vertical="center" wrapText="1"/>
    </xf>
    <xf numFmtId="4" fontId="0" fillId="3" borderId="1" xfId="1" applyNumberFormat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 applyProtection="1">
      <alignment horizontal="left" vertical="center"/>
    </xf>
    <xf numFmtId="4" fontId="0" fillId="2" borderId="1" xfId="1" applyNumberFormat="1" applyFont="1" applyFill="1" applyBorder="1" applyAlignment="1" applyProtection="1">
      <alignment horizontal="right" vertical="center"/>
    </xf>
    <xf numFmtId="4" fontId="0" fillId="3" borderId="1" xfId="1" applyNumberFormat="1" applyFont="1" applyFill="1" applyBorder="1" applyAlignment="1" applyProtection="1">
      <alignment horizontal="right" vertical="center"/>
    </xf>
    <xf numFmtId="4" fontId="0" fillId="0" borderId="1" xfId="1" applyNumberFormat="1" applyFont="1" applyFill="1" applyBorder="1" applyAlignment="1" applyProtection="1">
      <alignment horizontal="right" vertical="center"/>
    </xf>
    <xf numFmtId="4" fontId="1" fillId="2" borderId="1" xfId="1" applyNumberFormat="1" applyFont="1" applyFill="1" applyBorder="1" applyAlignment="1" applyProtection="1">
      <alignment horizontal="right" vertical="center"/>
    </xf>
    <xf numFmtId="164" fontId="0" fillId="0" borderId="1" xfId="1" applyNumberFormat="1" applyFont="1" applyFill="1" applyBorder="1" applyAlignment="1" applyProtection="1">
      <alignment horizontal="right" vertical="center"/>
    </xf>
    <xf numFmtId="4" fontId="1" fillId="0" borderId="1" xfId="0" applyNumberFormat="1" applyFont="1" applyBorder="1"/>
    <xf numFmtId="4" fontId="1" fillId="3" borderId="1" xfId="0" applyNumberFormat="1" applyFont="1" applyFill="1" applyBorder="1"/>
    <xf numFmtId="0" fontId="1" fillId="0" borderId="0" xfId="0" applyFont="1"/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Q1" sqref="Q1:Q18"/>
    </sheetView>
  </sheetViews>
  <sheetFormatPr baseColWidth="10" defaultRowHeight="15" x14ac:dyDescent="0.25"/>
  <cols>
    <col min="1" max="1" width="8.140625" style="15" customWidth="1"/>
    <col min="2" max="2" width="28.5703125" style="15" customWidth="1"/>
    <col min="3" max="3" width="10" style="15" customWidth="1"/>
    <col min="4" max="4" width="13.140625" style="15" customWidth="1"/>
    <col min="5" max="5" width="8.5703125" style="15" customWidth="1"/>
    <col min="6" max="6" width="9.28515625" style="15" customWidth="1"/>
    <col min="7" max="7" width="13.28515625" style="15" customWidth="1"/>
    <col min="8" max="8" width="10" style="15" customWidth="1"/>
    <col min="9" max="9" width="5.85546875" style="15" customWidth="1"/>
    <col min="10" max="10" width="9.140625" style="15" bestFit="1" customWidth="1"/>
    <col min="11" max="16" width="14.28515625" style="15" customWidth="1"/>
    <col min="17" max="19" width="11.42578125" style="15"/>
  </cols>
  <sheetData>
    <row r="1" spans="1:19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5" t="s">
        <v>18</v>
      </c>
    </row>
    <row r="2" spans="1:19" x14ac:dyDescent="0.25">
      <c r="A2" s="7" t="s">
        <v>19</v>
      </c>
      <c r="B2" s="7" t="s">
        <v>20</v>
      </c>
      <c r="C2" s="7" t="s">
        <v>21</v>
      </c>
      <c r="D2" s="8">
        <v>61316.58</v>
      </c>
      <c r="E2" s="7" t="s">
        <v>22</v>
      </c>
      <c r="F2" s="9">
        <v>18000</v>
      </c>
      <c r="G2" s="7" t="s">
        <v>23</v>
      </c>
      <c r="H2" s="10">
        <v>780</v>
      </c>
      <c r="I2" s="7"/>
      <c r="J2" s="11">
        <v>0</v>
      </c>
      <c r="K2" s="10">
        <v>50000</v>
      </c>
      <c r="L2" s="12">
        <v>75</v>
      </c>
      <c r="M2" s="8">
        <v>1500</v>
      </c>
      <c r="N2" s="8">
        <v>61316.58</v>
      </c>
      <c r="O2" s="10">
        <v>25</v>
      </c>
      <c r="P2" s="10">
        <v>0</v>
      </c>
      <c r="Q2" s="13">
        <f>D2+M2+N2</f>
        <v>124133.16</v>
      </c>
      <c r="R2" s="14">
        <f>L2*2000</f>
        <v>150000</v>
      </c>
      <c r="S2" s="13">
        <f>F2+R2</f>
        <v>168000</v>
      </c>
    </row>
    <row r="3" spans="1:19" x14ac:dyDescent="0.25">
      <c r="A3" s="7" t="s">
        <v>24</v>
      </c>
      <c r="B3" s="7" t="s">
        <v>25</v>
      </c>
      <c r="C3" s="7" t="s">
        <v>21</v>
      </c>
      <c r="D3" s="8">
        <v>71127.289999999994</v>
      </c>
      <c r="E3" s="7" t="s">
        <v>22</v>
      </c>
      <c r="F3" s="9">
        <v>18000</v>
      </c>
      <c r="G3" s="7" t="s">
        <v>23</v>
      </c>
      <c r="H3" s="10">
        <v>780</v>
      </c>
      <c r="I3" s="7"/>
      <c r="J3" s="11">
        <v>0</v>
      </c>
      <c r="K3" s="10">
        <v>50000</v>
      </c>
      <c r="L3" s="12">
        <v>75</v>
      </c>
      <c r="M3" s="8">
        <v>2000</v>
      </c>
      <c r="N3" s="8">
        <v>71127.289999999994</v>
      </c>
      <c r="O3" s="10">
        <v>25</v>
      </c>
      <c r="P3" s="10">
        <v>0</v>
      </c>
      <c r="Q3" s="13">
        <f t="shared" ref="Q3:Q18" si="0">D3+M3+N3</f>
        <v>144254.57999999999</v>
      </c>
      <c r="R3" s="14">
        <f t="shared" ref="R3:R18" si="1">L3*2000</f>
        <v>150000</v>
      </c>
      <c r="S3" s="13">
        <f t="shared" ref="S3:S18" si="2">F3+R3</f>
        <v>168000</v>
      </c>
    </row>
    <row r="4" spans="1:19" x14ac:dyDescent="0.25">
      <c r="A4" s="7" t="s">
        <v>26</v>
      </c>
      <c r="B4" s="7" t="s">
        <v>27</v>
      </c>
      <c r="C4" s="7" t="s">
        <v>21</v>
      </c>
      <c r="D4" s="8">
        <v>81551.08</v>
      </c>
      <c r="E4" s="7" t="s">
        <v>22</v>
      </c>
      <c r="F4" s="9">
        <v>18000</v>
      </c>
      <c r="G4" s="7" t="s">
        <v>23</v>
      </c>
      <c r="H4" s="10">
        <v>780</v>
      </c>
      <c r="I4" s="7"/>
      <c r="J4" s="11">
        <v>0</v>
      </c>
      <c r="K4" s="10">
        <v>50000</v>
      </c>
      <c r="L4" s="12">
        <v>75</v>
      </c>
      <c r="M4" s="8">
        <v>2354</v>
      </c>
      <c r="N4" s="8">
        <v>81551.08</v>
      </c>
      <c r="O4" s="10">
        <v>25</v>
      </c>
      <c r="P4" s="10">
        <v>0</v>
      </c>
      <c r="Q4" s="13">
        <f t="shared" si="0"/>
        <v>165456.16</v>
      </c>
      <c r="R4" s="14">
        <f t="shared" si="1"/>
        <v>150000</v>
      </c>
      <c r="S4" s="13">
        <f t="shared" si="2"/>
        <v>168000</v>
      </c>
    </row>
    <row r="5" spans="1:19" x14ac:dyDescent="0.25">
      <c r="A5" s="7" t="s">
        <v>28</v>
      </c>
      <c r="B5" s="7" t="s">
        <v>29</v>
      </c>
      <c r="C5" s="7" t="s">
        <v>21</v>
      </c>
      <c r="D5" s="8">
        <v>94427.58</v>
      </c>
      <c r="E5" s="7" t="s">
        <v>22</v>
      </c>
      <c r="F5" s="9">
        <v>18000</v>
      </c>
      <c r="G5" s="7" t="s">
        <v>23</v>
      </c>
      <c r="H5" s="10">
        <v>780</v>
      </c>
      <c r="I5" s="7" t="s">
        <v>30</v>
      </c>
      <c r="J5" s="11">
        <v>1000</v>
      </c>
      <c r="K5" s="10">
        <v>50000</v>
      </c>
      <c r="L5" s="12">
        <v>75</v>
      </c>
      <c r="M5" s="8">
        <v>3884</v>
      </c>
      <c r="N5" s="8">
        <v>94427.58</v>
      </c>
      <c r="O5" s="10">
        <v>25</v>
      </c>
      <c r="P5" s="10">
        <v>3000</v>
      </c>
      <c r="Q5" s="13">
        <f t="shared" si="0"/>
        <v>192739.16</v>
      </c>
      <c r="R5" s="14">
        <f t="shared" si="1"/>
        <v>150000</v>
      </c>
      <c r="S5" s="13">
        <f t="shared" si="2"/>
        <v>168000</v>
      </c>
    </row>
    <row r="6" spans="1:19" x14ac:dyDescent="0.25">
      <c r="A6" s="7" t="s">
        <v>31</v>
      </c>
      <c r="B6" s="7" t="s">
        <v>32</v>
      </c>
      <c r="C6" s="7" t="s">
        <v>21</v>
      </c>
      <c r="D6" s="8">
        <v>109143.45</v>
      </c>
      <c r="E6" s="7" t="s">
        <v>22</v>
      </c>
      <c r="F6" s="9">
        <v>18000</v>
      </c>
      <c r="G6" s="7" t="s">
        <v>23</v>
      </c>
      <c r="H6" s="10">
        <v>780</v>
      </c>
      <c r="I6" s="7" t="s">
        <v>30</v>
      </c>
      <c r="J6" s="11">
        <v>2000</v>
      </c>
      <c r="K6" s="10">
        <v>50000</v>
      </c>
      <c r="L6" s="12">
        <v>75</v>
      </c>
      <c r="M6" s="8">
        <v>4918</v>
      </c>
      <c r="N6" s="8">
        <v>109143.45</v>
      </c>
      <c r="O6" s="10">
        <v>25</v>
      </c>
      <c r="P6" s="10">
        <v>3000</v>
      </c>
      <c r="Q6" s="13">
        <f t="shared" si="0"/>
        <v>223204.9</v>
      </c>
      <c r="R6" s="14">
        <f t="shared" si="1"/>
        <v>150000</v>
      </c>
      <c r="S6" s="13">
        <f t="shared" si="2"/>
        <v>168000</v>
      </c>
    </row>
    <row r="7" spans="1:19" x14ac:dyDescent="0.25">
      <c r="A7" s="7" t="s">
        <v>33</v>
      </c>
      <c r="B7" s="7" t="s">
        <v>34</v>
      </c>
      <c r="C7" s="7" t="s">
        <v>21</v>
      </c>
      <c r="D7" s="8">
        <v>126312.16</v>
      </c>
      <c r="E7" s="7" t="s">
        <v>22</v>
      </c>
      <c r="F7" s="9">
        <v>18000</v>
      </c>
      <c r="G7" s="7" t="s">
        <v>23</v>
      </c>
      <c r="H7" s="10">
        <v>780</v>
      </c>
      <c r="I7" s="7" t="s">
        <v>30</v>
      </c>
      <c r="J7" s="11">
        <v>3000</v>
      </c>
      <c r="K7" s="10">
        <v>50000</v>
      </c>
      <c r="L7" s="12">
        <v>75</v>
      </c>
      <c r="M7" s="8">
        <v>5327</v>
      </c>
      <c r="N7" s="8">
        <v>126312.16</v>
      </c>
      <c r="O7" s="10">
        <v>25</v>
      </c>
      <c r="P7" s="10">
        <v>3000</v>
      </c>
      <c r="Q7" s="13">
        <f t="shared" si="0"/>
        <v>257951.32</v>
      </c>
      <c r="R7" s="14">
        <f t="shared" si="1"/>
        <v>150000</v>
      </c>
      <c r="S7" s="13">
        <f t="shared" si="2"/>
        <v>168000</v>
      </c>
    </row>
    <row r="8" spans="1:19" x14ac:dyDescent="0.25">
      <c r="A8" s="7" t="s">
        <v>35</v>
      </c>
      <c r="B8" s="7" t="s">
        <v>36</v>
      </c>
      <c r="C8" s="7" t="s">
        <v>21</v>
      </c>
      <c r="D8" s="8">
        <v>145320.24</v>
      </c>
      <c r="E8" s="7" t="s">
        <v>22</v>
      </c>
      <c r="F8" s="9">
        <v>18000</v>
      </c>
      <c r="G8" s="7" t="s">
        <v>23</v>
      </c>
      <c r="H8" s="10">
        <v>780</v>
      </c>
      <c r="I8" s="7" t="s">
        <v>30</v>
      </c>
      <c r="J8" s="11">
        <v>6000</v>
      </c>
      <c r="K8" s="10">
        <v>50000</v>
      </c>
      <c r="L8" s="12">
        <v>75</v>
      </c>
      <c r="M8" s="8">
        <v>5736</v>
      </c>
      <c r="N8" s="8">
        <v>145320.24</v>
      </c>
      <c r="O8" s="10">
        <v>25</v>
      </c>
      <c r="P8" s="10">
        <v>3000</v>
      </c>
      <c r="Q8" s="13">
        <f t="shared" si="0"/>
        <v>296376.48</v>
      </c>
      <c r="R8" s="14">
        <f t="shared" si="1"/>
        <v>150000</v>
      </c>
      <c r="S8" s="13">
        <f t="shared" si="2"/>
        <v>168000</v>
      </c>
    </row>
    <row r="9" spans="1:19" x14ac:dyDescent="0.25">
      <c r="A9" s="7" t="s">
        <v>37</v>
      </c>
      <c r="B9" s="7" t="s">
        <v>36</v>
      </c>
      <c r="C9" s="7" t="s">
        <v>21</v>
      </c>
      <c r="D9" s="8">
        <v>168007.45</v>
      </c>
      <c r="E9" s="7" t="s">
        <v>22</v>
      </c>
      <c r="F9" s="9">
        <v>18000</v>
      </c>
      <c r="G9" s="7" t="s">
        <v>23</v>
      </c>
      <c r="H9" s="10">
        <v>780</v>
      </c>
      <c r="I9" s="7" t="s">
        <v>30</v>
      </c>
      <c r="J9" s="11">
        <v>7000</v>
      </c>
      <c r="K9" s="10">
        <v>50000</v>
      </c>
      <c r="L9" s="12">
        <v>75</v>
      </c>
      <c r="M9" s="8">
        <v>8221.34</v>
      </c>
      <c r="N9" s="8">
        <v>168007.45</v>
      </c>
      <c r="O9" s="10">
        <v>25</v>
      </c>
      <c r="P9" s="10">
        <v>3000</v>
      </c>
      <c r="Q9" s="13">
        <f t="shared" si="0"/>
        <v>344236.24</v>
      </c>
      <c r="R9" s="14">
        <f t="shared" si="1"/>
        <v>150000</v>
      </c>
      <c r="S9" s="13">
        <f t="shared" si="2"/>
        <v>168000</v>
      </c>
    </row>
    <row r="10" spans="1:19" x14ac:dyDescent="0.25">
      <c r="A10" s="7" t="s">
        <v>38</v>
      </c>
      <c r="B10" s="7" t="s">
        <v>39</v>
      </c>
      <c r="C10" s="7" t="s">
        <v>21</v>
      </c>
      <c r="D10" s="8">
        <v>194373.53</v>
      </c>
      <c r="E10" s="7" t="s">
        <v>22</v>
      </c>
      <c r="F10" s="9">
        <v>18000</v>
      </c>
      <c r="G10" s="7" t="s">
        <v>23</v>
      </c>
      <c r="H10" s="10">
        <v>780</v>
      </c>
      <c r="I10" s="7" t="s">
        <v>30</v>
      </c>
      <c r="J10" s="11">
        <v>10000</v>
      </c>
      <c r="K10" s="10">
        <v>50000</v>
      </c>
      <c r="L10" s="12">
        <v>75</v>
      </c>
      <c r="M10" s="8">
        <v>8282</v>
      </c>
      <c r="N10" s="8">
        <v>194373.53</v>
      </c>
      <c r="O10" s="10">
        <v>25</v>
      </c>
      <c r="P10" s="10">
        <v>4200</v>
      </c>
      <c r="Q10" s="13">
        <f t="shared" si="0"/>
        <v>397029.06</v>
      </c>
      <c r="R10" s="14">
        <f t="shared" si="1"/>
        <v>150000</v>
      </c>
      <c r="S10" s="13">
        <f t="shared" si="2"/>
        <v>168000</v>
      </c>
    </row>
    <row r="11" spans="1:19" x14ac:dyDescent="0.25">
      <c r="A11" s="7" t="s">
        <v>40</v>
      </c>
      <c r="B11" s="7" t="s">
        <v>41</v>
      </c>
      <c r="C11" s="7" t="s">
        <v>21</v>
      </c>
      <c r="D11" s="8">
        <v>224418.74</v>
      </c>
      <c r="E11" s="7" t="s">
        <v>22</v>
      </c>
      <c r="F11" s="9">
        <v>25000</v>
      </c>
      <c r="G11" s="7" t="s">
        <v>23</v>
      </c>
      <c r="H11" s="10">
        <v>1037.4000000000001</v>
      </c>
      <c r="I11" s="7" t="s">
        <v>30</v>
      </c>
      <c r="J11" s="11">
        <v>11000</v>
      </c>
      <c r="K11" s="10">
        <v>50000</v>
      </c>
      <c r="L11" s="12">
        <v>85</v>
      </c>
      <c r="M11" s="8">
        <v>11017</v>
      </c>
      <c r="N11" s="8">
        <v>224418.74</v>
      </c>
      <c r="O11" s="10">
        <v>25</v>
      </c>
      <c r="P11" s="10">
        <v>5600</v>
      </c>
      <c r="Q11" s="13">
        <f t="shared" si="0"/>
        <v>459854.48</v>
      </c>
      <c r="R11" s="14">
        <f t="shared" si="1"/>
        <v>170000</v>
      </c>
      <c r="S11" s="13">
        <f t="shared" si="2"/>
        <v>195000</v>
      </c>
    </row>
    <row r="12" spans="1:19" x14ac:dyDescent="0.25">
      <c r="A12" s="7" t="s">
        <v>42</v>
      </c>
      <c r="B12" s="7" t="s">
        <v>43</v>
      </c>
      <c r="C12" s="7" t="s">
        <v>21</v>
      </c>
      <c r="D12" s="8">
        <v>258756.03</v>
      </c>
      <c r="E12" s="7" t="s">
        <v>22</v>
      </c>
      <c r="F12" s="9">
        <v>30000</v>
      </c>
      <c r="G12" s="7" t="s">
        <v>23</v>
      </c>
      <c r="H12" s="10">
        <v>1037.4000000000001</v>
      </c>
      <c r="I12" s="7" t="s">
        <v>30</v>
      </c>
      <c r="J12" s="11">
        <v>12000</v>
      </c>
      <c r="K12" s="10">
        <v>50000</v>
      </c>
      <c r="L12" s="12">
        <v>95</v>
      </c>
      <c r="M12" s="8">
        <v>14930</v>
      </c>
      <c r="N12" s="8">
        <v>258756.03</v>
      </c>
      <c r="O12" s="10">
        <v>25</v>
      </c>
      <c r="P12" s="10">
        <v>6000</v>
      </c>
      <c r="Q12" s="13">
        <f t="shared" si="0"/>
        <v>532442.06000000006</v>
      </c>
      <c r="R12" s="14">
        <f t="shared" si="1"/>
        <v>190000</v>
      </c>
      <c r="S12" s="13">
        <f t="shared" si="2"/>
        <v>220000</v>
      </c>
    </row>
    <row r="13" spans="1:19" x14ac:dyDescent="0.25">
      <c r="A13" s="7" t="s">
        <v>44</v>
      </c>
      <c r="B13" s="7" t="s">
        <v>45</v>
      </c>
      <c r="C13" s="7" t="s">
        <v>21</v>
      </c>
      <c r="D13" s="8">
        <v>299224.90000000002</v>
      </c>
      <c r="E13" s="7" t="s">
        <v>22</v>
      </c>
      <c r="F13" s="9">
        <v>35000</v>
      </c>
      <c r="G13" s="7" t="s">
        <v>23</v>
      </c>
      <c r="H13" s="10">
        <v>1037.4000000000001</v>
      </c>
      <c r="I13" s="7" t="s">
        <v>30</v>
      </c>
      <c r="J13" s="11">
        <v>13000</v>
      </c>
      <c r="K13" s="10">
        <v>50000</v>
      </c>
      <c r="L13" s="12">
        <v>105</v>
      </c>
      <c r="M13" s="8">
        <v>20523</v>
      </c>
      <c r="N13" s="8">
        <v>299224.90000000002</v>
      </c>
      <c r="O13" s="10">
        <v>25</v>
      </c>
      <c r="P13" s="10">
        <v>6000</v>
      </c>
      <c r="Q13" s="13">
        <f t="shared" si="0"/>
        <v>618972.80000000005</v>
      </c>
      <c r="R13" s="14">
        <f t="shared" si="1"/>
        <v>210000</v>
      </c>
      <c r="S13" s="13">
        <f t="shared" si="2"/>
        <v>245000</v>
      </c>
    </row>
    <row r="14" spans="1:19" x14ac:dyDescent="0.25">
      <c r="A14" s="7" t="s">
        <v>46</v>
      </c>
      <c r="B14" s="7" t="s">
        <v>47</v>
      </c>
      <c r="C14" s="7" t="s">
        <v>21</v>
      </c>
      <c r="D14" s="8">
        <v>345825.48</v>
      </c>
      <c r="E14" s="7" t="s">
        <v>22</v>
      </c>
      <c r="F14" s="9">
        <v>40000</v>
      </c>
      <c r="G14" s="7" t="s">
        <v>23</v>
      </c>
      <c r="H14" s="10">
        <v>1037.4000000000001</v>
      </c>
      <c r="I14" s="7" t="s">
        <v>30</v>
      </c>
      <c r="J14" s="11">
        <v>14000</v>
      </c>
      <c r="K14" s="10">
        <v>50000</v>
      </c>
      <c r="L14" s="12">
        <v>115</v>
      </c>
      <c r="M14" s="8">
        <v>27797</v>
      </c>
      <c r="N14" s="8">
        <v>345825.48</v>
      </c>
      <c r="O14" s="10">
        <v>25</v>
      </c>
      <c r="P14" s="10">
        <v>6000</v>
      </c>
      <c r="Q14" s="13">
        <f t="shared" si="0"/>
        <v>719447.96</v>
      </c>
      <c r="R14" s="14">
        <f t="shared" si="1"/>
        <v>230000</v>
      </c>
      <c r="S14" s="13">
        <f t="shared" si="2"/>
        <v>270000</v>
      </c>
    </row>
    <row r="15" spans="1:19" x14ac:dyDescent="0.25">
      <c r="A15" s="7" t="s">
        <v>48</v>
      </c>
      <c r="B15" s="7" t="s">
        <v>49</v>
      </c>
      <c r="C15" s="7" t="s">
        <v>21</v>
      </c>
      <c r="D15" s="8">
        <v>399170.98</v>
      </c>
      <c r="E15" s="7" t="s">
        <v>22</v>
      </c>
      <c r="F15" s="9">
        <v>45000</v>
      </c>
      <c r="G15" s="7" t="s">
        <v>23</v>
      </c>
      <c r="H15" s="10">
        <v>1037.4000000000001</v>
      </c>
      <c r="I15" s="7" t="s">
        <v>30</v>
      </c>
      <c r="J15" s="11">
        <v>20000</v>
      </c>
      <c r="K15" s="10">
        <v>50000</v>
      </c>
      <c r="L15" s="12">
        <v>125</v>
      </c>
      <c r="M15" s="8">
        <v>36920</v>
      </c>
      <c r="N15" s="8">
        <v>399170.98</v>
      </c>
      <c r="O15" s="10">
        <v>25</v>
      </c>
      <c r="P15" s="10">
        <v>0</v>
      </c>
      <c r="Q15" s="13">
        <f t="shared" si="0"/>
        <v>835261.96</v>
      </c>
      <c r="R15" s="14">
        <f t="shared" si="1"/>
        <v>250000</v>
      </c>
      <c r="S15" s="13">
        <f t="shared" si="2"/>
        <v>295000</v>
      </c>
    </row>
    <row r="16" spans="1:19" x14ac:dyDescent="0.25">
      <c r="A16" s="7" t="s">
        <v>50</v>
      </c>
      <c r="B16" s="7" t="s">
        <v>51</v>
      </c>
      <c r="C16" s="7" t="s">
        <v>21</v>
      </c>
      <c r="D16" s="8">
        <v>461100.64</v>
      </c>
      <c r="E16" s="7" t="s">
        <v>22</v>
      </c>
      <c r="F16" s="9">
        <v>50000</v>
      </c>
      <c r="G16" s="7" t="s">
        <v>23</v>
      </c>
      <c r="H16" s="10">
        <v>1037.4000000000001</v>
      </c>
      <c r="I16" s="7" t="s">
        <v>30</v>
      </c>
      <c r="J16" s="11">
        <v>21000</v>
      </c>
      <c r="K16" s="10">
        <v>50000</v>
      </c>
      <c r="L16" s="12">
        <v>135</v>
      </c>
      <c r="M16" s="8">
        <v>48397</v>
      </c>
      <c r="N16" s="8">
        <v>461100.64</v>
      </c>
      <c r="O16" s="10">
        <v>25</v>
      </c>
      <c r="P16" s="10">
        <v>0</v>
      </c>
      <c r="Q16" s="13">
        <f t="shared" si="0"/>
        <v>970598.28</v>
      </c>
      <c r="R16" s="14">
        <f t="shared" si="1"/>
        <v>270000</v>
      </c>
      <c r="S16" s="13">
        <f t="shared" si="2"/>
        <v>320000</v>
      </c>
    </row>
    <row r="17" spans="1:19" x14ac:dyDescent="0.25">
      <c r="A17" s="7" t="s">
        <v>52</v>
      </c>
      <c r="B17" s="7" t="s">
        <v>53</v>
      </c>
      <c r="C17" s="7" t="s">
        <v>21</v>
      </c>
      <c r="D17" s="8">
        <v>532227.93000000005</v>
      </c>
      <c r="E17" s="7" t="s">
        <v>22</v>
      </c>
      <c r="F17" s="9">
        <v>55000</v>
      </c>
      <c r="G17" s="7" t="s">
        <v>23</v>
      </c>
      <c r="H17" s="10">
        <v>1037.4000000000001</v>
      </c>
      <c r="I17" s="7" t="s">
        <v>30</v>
      </c>
      <c r="J17" s="11">
        <v>22000</v>
      </c>
      <c r="K17" s="10">
        <v>50000</v>
      </c>
      <c r="L17" s="12">
        <v>145</v>
      </c>
      <c r="M17" s="8">
        <v>62393</v>
      </c>
      <c r="N17" s="8">
        <v>532227.93000000005</v>
      </c>
      <c r="O17" s="10">
        <v>25</v>
      </c>
      <c r="P17" s="10">
        <v>0</v>
      </c>
      <c r="Q17" s="13">
        <f t="shared" si="0"/>
        <v>1126848.8600000001</v>
      </c>
      <c r="R17" s="14">
        <f t="shared" si="1"/>
        <v>290000</v>
      </c>
      <c r="S17" s="13">
        <f t="shared" si="2"/>
        <v>345000</v>
      </c>
    </row>
    <row r="18" spans="1:19" x14ac:dyDescent="0.25">
      <c r="A18" s="7" t="s">
        <v>54</v>
      </c>
      <c r="B18" s="7" t="s">
        <v>55</v>
      </c>
      <c r="C18" s="7" t="s">
        <v>21</v>
      </c>
      <c r="D18" s="8">
        <v>613165.80000000005</v>
      </c>
      <c r="E18" s="7" t="s">
        <v>22</v>
      </c>
      <c r="F18" s="9">
        <v>60000</v>
      </c>
      <c r="G18" s="7" t="s">
        <v>23</v>
      </c>
      <c r="H18" s="10">
        <v>1037.4000000000001</v>
      </c>
      <c r="I18" s="7" t="s">
        <v>30</v>
      </c>
      <c r="J18" s="11">
        <v>23000</v>
      </c>
      <c r="K18" s="10">
        <v>50000</v>
      </c>
      <c r="L18" s="12">
        <v>145</v>
      </c>
      <c r="M18" s="8">
        <v>79080</v>
      </c>
      <c r="N18" s="8">
        <v>613165.80000000005</v>
      </c>
      <c r="O18" s="10">
        <v>25</v>
      </c>
      <c r="P18" s="10">
        <v>0</v>
      </c>
      <c r="Q18" s="13">
        <f t="shared" si="0"/>
        <v>1305411.6000000001</v>
      </c>
      <c r="R18" s="14">
        <f t="shared" si="1"/>
        <v>290000</v>
      </c>
      <c r="S18" s="13">
        <f t="shared" si="2"/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MASSIDI</dc:creator>
  <cp:lastModifiedBy>MASSIDI</cp:lastModifiedBy>
  <dcterms:created xsi:type="dcterms:W3CDTF">2022-10-24T18:27:26Z</dcterms:created>
  <dcterms:modified xsi:type="dcterms:W3CDTF">2022-10-25T10:47:31Z</dcterms:modified>
</cp:coreProperties>
</file>